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s" sheetId="2" state="visible" r:id="rId2"/>
    <sheet name="Scenarios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</font>
    <font>
      <name val="Arial"/>
      <color rgb="000000FF"/>
    </font>
    <font>
      <name val="Arial"/>
      <i val="1"/>
      <color rgb="00777777"/>
      <sz val="8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0" fontId="7" fillId="0" borderId="0" pivotButton="0" quotePrefix="0" xfId="0"/>
    <xf numFmtId="165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64" fontId="5" fillId="3" borderId="0" pivotButton="0" quotePrefix="0" xfId="0"/>
    <xf numFmtId="0" fontId="7" fillId="4" borderId="0" applyAlignment="1" pivotButton="0" quotePrefix="0" xfId="0">
      <alignment horizontal="center"/>
    </xf>
    <xf numFmtId="165" fontId="5" fillId="0" borderId="0" pivotButton="0" quotePrefix="0" xfId="0"/>
    <xf numFmtId="164" fontId="5" fillId="0" borderId="0" pivotButton="0" quotePrefix="0" xfId="0"/>
    <xf numFmtId="165" fontId="5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5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0" fontId="7" fillId="5" borderId="0" pivotButton="0" quotePrefix="0" xfId="0"/>
    <xf numFmtId="164" fontId="7" fillId="5" borderId="0" pivotButton="0" quotePrefix="0" xfId="0"/>
    <xf numFmtId="0" fontId="7" fillId="0" borderId="0" pivotButton="0" quotePrefix="0" xfId="0"/>
    <xf numFmtId="10" fontId="4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5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</cols>
  <sheetData>
    <row r="1">
      <c r="A1" s="1" t="inlineStr">
        <is>
          <t>Decision Summary — STR vs Long-Term Rental</t>
        </is>
      </c>
    </row>
    <row r="2">
      <c r="A2" s="2" t="inlineStr">
        <is>
          <t>54 Ashburner St, Higgins ACT 2615</t>
        </is>
      </c>
    </row>
    <row r="4">
      <c r="A4" s="3" t="inlineStr">
        <is>
          <t>Property value</t>
        </is>
      </c>
      <c r="B4" s="4">
        <f>Inputs!B5</f>
        <v/>
      </c>
    </row>
    <row r="5">
      <c r="A5" s="3" t="inlineStr"/>
    </row>
    <row r="6">
      <c r="A6" s="3" t="inlineStr">
        <is>
          <t>Base STR gross revenue (AirROI median)</t>
        </is>
      </c>
      <c r="B6" s="4">
        <f>Scenarios!D7</f>
        <v/>
      </c>
    </row>
    <row r="7">
      <c r="A7" s="3" t="inlineStr">
        <is>
          <t>Base STR NOI</t>
        </is>
      </c>
      <c r="B7" s="4">
        <f>Scenarios!D12</f>
        <v/>
      </c>
    </row>
    <row r="8">
      <c r="A8" s="3" t="inlineStr">
        <is>
          <t>Long-term rental NOI</t>
        </is>
      </c>
      <c r="B8" s="4">
        <f>Scenarios!B22</f>
        <v/>
      </c>
    </row>
    <row r="9">
      <c r="A9" s="3" t="inlineStr">
        <is>
          <t>Base STR advantage vs LTR (pre-amort)</t>
        </is>
      </c>
      <c r="B9" s="4">
        <f>Scenarios!D25</f>
        <v/>
      </c>
    </row>
    <row r="10">
      <c r="A10" s="3" t="inlineStr"/>
    </row>
    <row r="11">
      <c r="A11" s="3" t="inlineStr">
        <is>
          <t>Conservative STR NOI (p25)</t>
        </is>
      </c>
      <c r="B11" s="4">
        <f>Scenarios!C12</f>
        <v/>
      </c>
    </row>
    <row r="12">
      <c r="A12" s="3" t="inlineStr">
        <is>
          <t>Aggressive STR NOI (p75)</t>
        </is>
      </c>
      <c r="B12" s="4">
        <f>Scenarios!E12</f>
        <v/>
      </c>
    </row>
    <row r="13">
      <c r="A13" s="3" t="inlineStr"/>
    </row>
    <row r="14">
      <c r="A14" s="3" t="inlineStr">
        <is>
          <t>STR base net yield</t>
        </is>
      </c>
      <c r="B14" s="5">
        <f>Scenarios!D12/Inputs!B5</f>
        <v/>
      </c>
    </row>
    <row r="15">
      <c r="A15" s="3" t="inlineStr">
        <is>
          <t>LTR net yield</t>
        </is>
      </c>
      <c r="B15" s="5">
        <f>Scenarios!B22/Inputs!B5</f>
        <v/>
      </c>
    </row>
    <row r="16">
      <c r="A16" s="3" t="inlineStr">
        <is>
          <t>Break-even occupancy to match LTR (base ADR)</t>
        </is>
      </c>
      <c r="B16" s="6">
        <f>Scenarios!B26/(Inputs!C10*365)</f>
        <v/>
      </c>
    </row>
    <row r="18">
      <c r="A18" s="7" t="inlineStr">
        <is>
          <t>Verdict</t>
        </is>
      </c>
      <c r="B18" s="8" t="n"/>
    </row>
    <row r="19">
      <c r="A19" s="9" t="inlineStr">
        <is>
          <t>At median execution, STR is roughly line-ball with a $750/wk long-term rent, for much more work and risk. STR wins clearly only if run top-quartile (p75). Both yields are low because it is a $1M house — a capital-growth, low-yield market.</t>
        </is>
      </c>
    </row>
    <row r="20"/>
    <row r="21"/>
    <row r="22"/>
    <row r="23"/>
    <row r="25">
      <c r="A25" s="10" t="inlineStr">
        <is>
          <t>Source: AirROI API (pulled 2026-08-08). Edit blue cells in Inputs; all else recalculates.</t>
        </is>
      </c>
    </row>
  </sheetData>
  <mergeCells count="1">
    <mergeCell ref="A19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Canberra STR Decision Model — Inputs</t>
        </is>
      </c>
    </row>
    <row r="2">
      <c r="A2" s="2" t="inlineStr">
        <is>
          <t>54 Ashburner St, Higgins ACT 2615 · AUD · blue = editable, yellow = key assumption</t>
        </is>
      </c>
    </row>
    <row r="4">
      <c r="A4" s="7" t="inlineStr">
        <is>
          <t>Property</t>
        </is>
      </c>
      <c r="B4" s="8" t="n"/>
      <c r="C4" s="8" t="n"/>
      <c r="D4" s="8" t="n"/>
      <c r="E4" s="8" t="n"/>
    </row>
    <row r="5">
      <c r="A5" s="3" t="inlineStr">
        <is>
          <t>Market value</t>
        </is>
      </c>
      <c r="B5" s="11" t="n">
        <v>1000000</v>
      </c>
      <c r="C5" s="10" t="inlineStr">
        <is>
          <t>USER-PROVIDED</t>
        </is>
      </c>
    </row>
    <row r="6">
      <c r="A6" s="3" t="inlineStr">
        <is>
          <t>Bedrooms / Bathrooms / Guests</t>
        </is>
      </c>
      <c r="B6" s="3" t="inlineStr">
        <is>
          <t>4 / 2 / 8</t>
        </is>
      </c>
    </row>
    <row r="7">
      <c r="A7" s="7" t="inlineStr">
        <is>
          <t>STR scenarios — AirROI percentiles for THIS property</t>
        </is>
      </c>
      <c r="B7" s="8" t="n"/>
      <c r="C7" s="8" t="n"/>
      <c r="D7" s="8" t="n"/>
      <c r="E7" s="8" t="n"/>
    </row>
    <row r="8">
      <c r="B8" s="12" t="inlineStr">
        <is>
          <t>Conservative</t>
        </is>
      </c>
      <c r="C8" s="12" t="inlineStr">
        <is>
          <t>Base</t>
        </is>
      </c>
      <c r="D8" s="12" t="inlineStr">
        <is>
          <t>Aggressive</t>
        </is>
      </c>
    </row>
    <row r="9">
      <c r="A9" s="3" t="inlineStr">
        <is>
          <t>Occupancy</t>
        </is>
      </c>
      <c r="B9" s="13" t="n">
        <v>0.36</v>
      </c>
      <c r="C9" s="13" t="n">
        <v>0.52</v>
      </c>
      <c r="D9" s="13" t="n">
        <v>0.67</v>
      </c>
    </row>
    <row r="10">
      <c r="A10" s="3" t="inlineStr">
        <is>
          <t>ADR (avg nightly rate)</t>
        </is>
      </c>
      <c r="B10" s="14" t="n">
        <v>251</v>
      </c>
      <c r="C10" s="14" t="n">
        <v>346</v>
      </c>
      <c r="D10" s="14" t="n">
        <v>456</v>
      </c>
    </row>
    <row r="11">
      <c r="A11" s="3" t="inlineStr">
        <is>
          <t>Gross annual revenue (AirROI)</t>
        </is>
      </c>
      <c r="B11" s="11" t="n">
        <v>38005</v>
      </c>
      <c r="C11" s="11" t="n">
        <v>62033</v>
      </c>
      <c r="D11" s="11" t="n">
        <v>86899</v>
      </c>
    </row>
    <row r="12">
      <c r="A12" s="7" t="inlineStr">
        <is>
          <t>ACT short-term rental levy</t>
        </is>
      </c>
      <c r="B12" s="8" t="n"/>
      <c r="C12" s="8" t="n"/>
      <c r="D12" s="8" t="n"/>
      <c r="E12" s="8" t="n"/>
    </row>
    <row r="13">
      <c r="A13" s="3" t="inlineStr">
        <is>
          <t>Levy rate — current</t>
        </is>
      </c>
      <c r="B13" s="15" t="n">
        <v>0.05</v>
      </c>
      <c r="C13" s="10" t="inlineStr">
        <is>
          <t>5% (ACT Gov)</t>
        </is>
      </c>
    </row>
    <row r="14">
      <c r="A14" s="3" t="inlineStr">
        <is>
          <t>Levy rate — from 1 Jul 2027</t>
        </is>
      </c>
      <c r="B14" s="13" t="n">
        <v>0.075</v>
      </c>
      <c r="C14" s="10" t="inlineStr">
        <is>
          <t>7.5% legislated</t>
        </is>
      </c>
    </row>
    <row r="15">
      <c r="A15" s="7" t="inlineStr">
        <is>
          <t>STR operating costs</t>
        </is>
      </c>
      <c r="B15" s="8" t="n"/>
      <c r="C15" s="8" t="n"/>
      <c r="D15" s="8" t="n"/>
      <c r="E15" s="8" t="n"/>
    </row>
    <row r="16">
      <c r="A16" s="3" t="inlineStr">
        <is>
          <t>Management fee (% of revenue)</t>
        </is>
      </c>
      <c r="B16" s="13" t="n">
        <v>0.18</v>
      </c>
      <c r="C16" s="10" t="inlineStr">
        <is>
          <t>0 if self-managed</t>
        </is>
      </c>
    </row>
    <row r="17">
      <c r="A17" s="3" t="inlineStr">
        <is>
          <t>Platform fee (% of revenue)</t>
        </is>
      </c>
      <c r="B17" s="13" t="n">
        <v>0.03</v>
      </c>
    </row>
    <row r="18">
      <c r="A18" s="3" t="inlineStr">
        <is>
          <t>Utilities + internet (annual)</t>
        </is>
      </c>
      <c r="B18" s="14" t="n">
        <v>6000</v>
      </c>
    </row>
    <row r="19">
      <c r="A19" s="3" t="inlineStr">
        <is>
          <t>Insurance (annual)</t>
        </is>
      </c>
      <c r="B19" s="14" t="n">
        <v>2400</v>
      </c>
    </row>
    <row r="20">
      <c r="A20" s="3" t="inlineStr">
        <is>
          <t>Consumables / linen (annual)</t>
        </is>
      </c>
      <c r="B20" s="14" t="n">
        <v>2400</v>
      </c>
    </row>
    <row r="21">
      <c r="A21" s="3" t="inlineStr">
        <is>
          <t>Maintenance (annual)</t>
        </is>
      </c>
      <c r="B21" s="14" t="n">
        <v>3500</v>
      </c>
    </row>
    <row r="22">
      <c r="A22" s="3" t="inlineStr">
        <is>
          <t>Council rates (annual)</t>
        </is>
      </c>
      <c r="B22" s="14" t="n">
        <v>3800</v>
      </c>
    </row>
    <row r="23">
      <c r="A23" s="3" t="inlineStr">
        <is>
          <t>Listing supplies (annual)</t>
        </is>
      </c>
      <c r="B23" s="14" t="n">
        <v>800</v>
      </c>
    </row>
    <row r="24">
      <c r="A24" s="7" t="inlineStr">
        <is>
          <t>Setup &amp; financing</t>
        </is>
      </c>
      <c r="B24" s="8" t="n"/>
      <c r="C24" s="8" t="n"/>
      <c r="D24" s="8" t="n"/>
      <c r="E24" s="8" t="n"/>
    </row>
    <row r="25">
      <c r="A25" s="3" t="inlineStr">
        <is>
          <t>Furnishing &amp; setup (one-off)</t>
        </is>
      </c>
      <c r="B25" s="11" t="n">
        <v>30000</v>
      </c>
    </row>
    <row r="26">
      <c r="A26" s="3" t="inlineStr">
        <is>
          <t>Amortisation period (years)</t>
        </is>
      </c>
      <c r="B26" s="16" t="n">
        <v>5</v>
      </c>
    </row>
    <row r="27">
      <c r="A27" s="3" t="inlineStr">
        <is>
          <t>Has mortgage? (1=yes, 0=no)</t>
        </is>
      </c>
      <c r="B27" s="16" t="n">
        <v>0</v>
      </c>
    </row>
    <row r="28">
      <c r="A28" s="3" t="inlineStr">
        <is>
          <t>Loan balance</t>
        </is>
      </c>
      <c r="B28" s="14" t="n">
        <v>0</v>
      </c>
    </row>
    <row r="29">
      <c r="A29" s="3" t="inlineStr">
        <is>
          <t>Interest rate</t>
        </is>
      </c>
      <c r="B29" s="13" t="n">
        <v>0.062</v>
      </c>
    </row>
    <row r="30">
      <c r="A30" s="7" t="inlineStr">
        <is>
          <t>Long-term rental baseline</t>
        </is>
      </c>
      <c r="B30" s="8" t="n"/>
      <c r="C30" s="8" t="n"/>
      <c r="D30" s="8" t="n"/>
      <c r="E30" s="8" t="n"/>
    </row>
    <row r="31">
      <c r="A31" s="3" t="inlineStr">
        <is>
          <t>Weekly rent</t>
        </is>
      </c>
      <c r="B31" s="11" t="n">
        <v>750</v>
      </c>
      <c r="C31" s="10" t="inlineStr">
        <is>
          <t>USER-PROVIDED</t>
        </is>
      </c>
    </row>
    <row r="32">
      <c r="A32" s="3" t="inlineStr">
        <is>
          <t>Vacancy (weeks/year)</t>
        </is>
      </c>
      <c r="B32" s="16" t="n">
        <v>2</v>
      </c>
    </row>
    <row r="33">
      <c r="A33" s="3" t="inlineStr">
        <is>
          <t>Management fee (%)</t>
        </is>
      </c>
      <c r="B33" s="13" t="n">
        <v>0.07000000000000001</v>
      </c>
    </row>
    <row r="34">
      <c r="A34" s="3" t="inlineStr">
        <is>
          <t>Maintenance (annual)</t>
        </is>
      </c>
      <c r="B34" s="14" t="n">
        <v>1500</v>
      </c>
    </row>
    <row r="35">
      <c r="A35" s="3" t="inlineStr">
        <is>
          <t>Council rates (annual)</t>
        </is>
      </c>
      <c r="B35" s="14" t="n">
        <v>3800</v>
      </c>
    </row>
    <row r="36">
      <c r="A36" s="3" t="inlineStr">
        <is>
          <t>Insurance (annual)</t>
        </is>
      </c>
      <c r="B36" s="1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STR Scenarios vs Long-Term Rental (AUD/yr)</t>
        </is>
      </c>
    </row>
    <row r="3">
      <c r="A3" s="17" t="inlineStr">
        <is>
          <t>Line</t>
        </is>
      </c>
      <c r="B3" s="18" t="inlineStr">
        <is>
          <t>Conservative</t>
        </is>
      </c>
      <c r="C3" s="18" t="inlineStr">
        <is>
          <t>Base</t>
        </is>
      </c>
      <c r="D3" s="18" t="inlineStr">
        <is>
          <t>Aggressive</t>
        </is>
      </c>
    </row>
    <row r="4">
      <c r="A4" s="3" t="inlineStr">
        <is>
          <t>Occupancy</t>
        </is>
      </c>
      <c r="C4" s="19">
        <f>Inputs!B9</f>
        <v/>
      </c>
      <c r="D4" s="19">
        <f>Inputs!C9</f>
        <v/>
      </c>
      <c r="E4" s="19">
        <f>Inputs!D9</f>
        <v/>
      </c>
    </row>
    <row r="5">
      <c r="A5" s="3" t="inlineStr">
        <is>
          <t>ADR</t>
        </is>
      </c>
      <c r="C5" s="20">
        <f>Inputs!B10</f>
        <v/>
      </c>
      <c r="D5" s="20">
        <f>Inputs!C10</f>
        <v/>
      </c>
      <c r="E5" s="20">
        <f>Inputs!D10</f>
        <v/>
      </c>
    </row>
    <row r="6">
      <c r="A6" s="3" t="inlineStr">
        <is>
          <t>Nights booked</t>
        </is>
      </c>
      <c r="C6" s="21">
        <f>Inputs!B9*365</f>
        <v/>
      </c>
      <c r="D6" s="21">
        <f>Inputs!C9*365</f>
        <v/>
      </c>
      <c r="E6" s="21">
        <f>Inputs!D9*365</f>
        <v/>
      </c>
    </row>
    <row r="7">
      <c r="A7" s="22" t="inlineStr">
        <is>
          <t>Gross revenue</t>
        </is>
      </c>
      <c r="C7" s="23">
        <f>Inputs!B11</f>
        <v/>
      </c>
      <c r="D7" s="23">
        <f>Inputs!C11</f>
        <v/>
      </c>
      <c r="E7" s="23">
        <f>Inputs!D11</f>
        <v/>
      </c>
    </row>
    <row r="8">
      <c r="A8" s="3" t="inlineStr">
        <is>
          <t xml:space="preserve">  less ACT levy</t>
        </is>
      </c>
      <c r="C8" s="20">
        <f>-C7*Inputs!B13</f>
        <v/>
      </c>
      <c r="D8" s="20">
        <f>-D7*Inputs!B13</f>
        <v/>
      </c>
      <c r="E8" s="20">
        <f>-E7*Inputs!B13</f>
        <v/>
      </c>
    </row>
    <row r="9">
      <c r="A9" s="3" t="inlineStr">
        <is>
          <t xml:space="preserve">  less platform fee</t>
        </is>
      </c>
      <c r="C9" s="20">
        <f>-C7*Inputs!B17</f>
        <v/>
      </c>
      <c r="D9" s="20">
        <f>-D7*Inputs!B17</f>
        <v/>
      </c>
      <c r="E9" s="20">
        <f>-E7*Inputs!B17</f>
        <v/>
      </c>
    </row>
    <row r="10">
      <c r="A10" s="3" t="inlineStr">
        <is>
          <t xml:space="preserve">  less management fee</t>
        </is>
      </c>
      <c r="C10" s="20">
        <f>-C7*Inputs!B16</f>
        <v/>
      </c>
      <c r="D10" s="20">
        <f>-D7*Inputs!B16</f>
        <v/>
      </c>
      <c r="E10" s="20">
        <f>-E7*Inputs!B16</f>
        <v/>
      </c>
    </row>
    <row r="11">
      <c r="A11" s="3" t="inlineStr">
        <is>
          <t xml:space="preserve">  less fixed opex</t>
        </is>
      </c>
      <c r="C11" s="20">
        <f>-(Inputs!B18+Inputs!B19+Inputs!B20+Inputs!B21+Inputs!B22+Inputs!B23)</f>
        <v/>
      </c>
      <c r="D11" s="20">
        <f>-(Inputs!B18+Inputs!B19+Inputs!B20+Inputs!B21+Inputs!B22+Inputs!B23)</f>
        <v/>
      </c>
      <c r="E11" s="20">
        <f>-(Inputs!B18+Inputs!B19+Inputs!B20+Inputs!B21+Inputs!B22+Inputs!B23)</f>
        <v/>
      </c>
    </row>
    <row r="12">
      <c r="A12" s="24" t="inlineStr">
        <is>
          <t>Net operating income (NOI)</t>
        </is>
      </c>
      <c r="C12" s="25">
        <f>C7+SUM(C8:C11)</f>
        <v/>
      </c>
      <c r="D12" s="25">
        <f>D7+SUM(D8:D11)</f>
        <v/>
      </c>
      <c r="E12" s="25">
        <f>E7+SUM(E8:E11)</f>
        <v/>
      </c>
    </row>
    <row r="13">
      <c r="A13" s="3" t="inlineStr">
        <is>
          <t xml:space="preserve">  less furnishing amortisation</t>
        </is>
      </c>
      <c r="C13" s="20">
        <f>-Inputs!B25/Inputs!B26</f>
        <v/>
      </c>
      <c r="D13" s="20">
        <f>-Inputs!B25/Inputs!B26</f>
        <v/>
      </c>
      <c r="E13" s="20">
        <f>-Inputs!B25/Inputs!B26</f>
        <v/>
      </c>
    </row>
    <row r="14">
      <c r="A14" s="3" t="inlineStr">
        <is>
          <t xml:space="preserve">  less mortgage interest</t>
        </is>
      </c>
      <c r="C14" s="20">
        <f>-Inputs!B27*Inputs!B28*Inputs!B29</f>
        <v/>
      </c>
      <c r="D14" s="20">
        <f>-Inputs!B27*Inputs!B28*Inputs!B29</f>
        <v/>
      </c>
      <c r="E14" s="20">
        <f>-Inputs!B27*Inputs!B28*Inputs!B29</f>
        <v/>
      </c>
    </row>
    <row r="15">
      <c r="A15" s="26" t="inlineStr">
        <is>
          <t>Net cash flow</t>
        </is>
      </c>
      <c r="C15" s="4">
        <f>C12+C13+C14</f>
        <v/>
      </c>
      <c r="D15" s="4">
        <f>D12+D13+D14</f>
        <v/>
      </c>
      <c r="E15" s="4">
        <f>E12+E13+E14</f>
        <v/>
      </c>
    </row>
    <row r="17">
      <c r="A17" s="3" t="inlineStr">
        <is>
          <t>Gross yield (rev / value)</t>
        </is>
      </c>
      <c r="C17" s="27">
        <f>C7/Inputs!B5</f>
        <v/>
      </c>
      <c r="D17" s="27">
        <f>D7/Inputs!B5</f>
        <v/>
      </c>
      <c r="E17" s="27">
        <f>E7/Inputs!B5</f>
        <v/>
      </c>
    </row>
    <row r="18">
      <c r="A18" s="26" t="inlineStr">
        <is>
          <t>Net yield (NOI / value)</t>
        </is>
      </c>
      <c r="C18" s="5">
        <f>C12/Inputs!B5</f>
        <v/>
      </c>
      <c r="D18" s="5">
        <f>D12/Inputs!B5</f>
        <v/>
      </c>
      <c r="E18" s="5">
        <f>E12/Inputs!B5</f>
        <v/>
      </c>
    </row>
    <row r="20">
      <c r="A20" s="7" t="inlineStr">
        <is>
          <t>Long-term rental baseline</t>
        </is>
      </c>
      <c r="B20" s="8" t="n"/>
      <c r="C20" s="8" t="n"/>
      <c r="D20" s="8" t="n"/>
    </row>
    <row r="21">
      <c r="A21" s="3" t="inlineStr">
        <is>
          <t>LTR gross income</t>
        </is>
      </c>
      <c r="B21" s="28">
        <f>Inputs!B31*(52-Inputs!B32)</f>
        <v/>
      </c>
    </row>
    <row r="22">
      <c r="A22" s="26" t="inlineStr">
        <is>
          <t>LTR NOI</t>
        </is>
      </c>
      <c r="B22" s="4">
        <f>B21-B21*Inputs!B33-Inputs!B34-Inputs!B35-Inputs!B36</f>
        <v/>
      </c>
    </row>
    <row r="23">
      <c r="A23" s="3" t="inlineStr">
        <is>
          <t>LTR net yield</t>
        </is>
      </c>
      <c r="B23" s="29">
        <f>B22/Inputs!B5</f>
        <v/>
      </c>
    </row>
    <row r="25">
      <c r="A25" s="26" t="inlineStr">
        <is>
          <t>STR NOI − LTR NOI</t>
        </is>
      </c>
      <c r="C25" s="4">
        <f>C12-$B$22</f>
        <v/>
      </c>
      <c r="D25" s="4">
        <f>D12-$B$22</f>
        <v/>
      </c>
      <c r="E25" s="4">
        <f>E12-$B$22</f>
        <v/>
      </c>
    </row>
    <row r="26">
      <c r="A26" s="3" t="inlineStr">
        <is>
          <t>Break-even gross rev to match LTR</t>
        </is>
      </c>
      <c r="B26" s="28">
        <f>(B22+(Inputs!B18+Inputs!B19+Inputs!B20+Inputs!B21+Inputs!B22+Inputs!B23))/(1-Inputs!B13-Inputs!B17-Inputs!B16)</f>
        <v/>
      </c>
    </row>
    <row r="27">
      <c r="A27" s="3" t="inlineStr">
        <is>
          <t xml:space="preserve">  → implied occupancy at Base ADR</t>
        </is>
      </c>
      <c r="B27" s="30">
        <f>B26/(Inputs!C10*365)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Sensitivity — STR Net Yield by Occupancy × ADR</t>
        </is>
      </c>
    </row>
    <row r="2">
      <c r="A2" s="2" t="inlineStr">
        <is>
          <t>NOI ÷ property value, current levy &amp; costs. Compare to LTR net yield (below).</t>
        </is>
      </c>
    </row>
    <row r="4">
      <c r="A4" s="26" t="inlineStr">
        <is>
          <t>ADR ↓ / Occ →</t>
        </is>
      </c>
      <c r="B4" s="31" t="n">
        <v>0.3</v>
      </c>
      <c r="C4" s="31" t="n">
        <v>0.4</v>
      </c>
      <c r="D4" s="31" t="n">
        <v>0.5</v>
      </c>
      <c r="E4" s="31" t="n">
        <v>0.6</v>
      </c>
      <c r="F4" s="31" t="n">
        <v>0.7</v>
      </c>
      <c r="G4" s="31" t="n">
        <v>0.8</v>
      </c>
    </row>
    <row r="5">
      <c r="A5" s="23" t="n">
        <v>250</v>
      </c>
      <c r="B5" s="29">
        <f>($A5*B$4*365*(1-Inputs!B13-Inputs!B17-Inputs!B16)-(Inputs!B18+Inputs!B19+Inputs!B20+Inputs!B21+Inputs!B22+Inputs!B23))/Inputs!B5</f>
        <v/>
      </c>
      <c r="C5" s="29">
        <f>($A5*C$4*365*(1-Inputs!B13-Inputs!B17-Inputs!B16)-(Inputs!B18+Inputs!B19+Inputs!B20+Inputs!B21+Inputs!B22+Inputs!B23))/Inputs!B5</f>
        <v/>
      </c>
      <c r="D5" s="29">
        <f>($A5*D$4*365*(1-Inputs!B13-Inputs!B17-Inputs!B16)-(Inputs!B18+Inputs!B19+Inputs!B20+Inputs!B21+Inputs!B22+Inputs!B23))/Inputs!B5</f>
        <v/>
      </c>
      <c r="E5" s="29">
        <f>($A5*E$4*365*(1-Inputs!B13-Inputs!B17-Inputs!B16)-(Inputs!B18+Inputs!B19+Inputs!B20+Inputs!B21+Inputs!B22+Inputs!B23))/Inputs!B5</f>
        <v/>
      </c>
      <c r="F5" s="29">
        <f>($A5*F$4*365*(1-Inputs!B13-Inputs!B17-Inputs!B16)-(Inputs!B18+Inputs!B19+Inputs!B20+Inputs!B21+Inputs!B22+Inputs!B23))/Inputs!B5</f>
        <v/>
      </c>
      <c r="G5" s="29">
        <f>($A5*G$4*365*(1-Inputs!B13-Inputs!B17-Inputs!B16)-(Inputs!B18+Inputs!B19+Inputs!B20+Inputs!B21+Inputs!B22+Inputs!B23))/Inputs!B5</f>
        <v/>
      </c>
    </row>
    <row r="6">
      <c r="A6" s="23" t="n">
        <v>300</v>
      </c>
      <c r="B6" s="29">
        <f>($A6*B$4*365*(1-Inputs!B13-Inputs!B17-Inputs!B16)-(Inputs!B18+Inputs!B19+Inputs!B20+Inputs!B21+Inputs!B22+Inputs!B23))/Inputs!B5</f>
        <v/>
      </c>
      <c r="C6" s="29">
        <f>($A6*C$4*365*(1-Inputs!B13-Inputs!B17-Inputs!B16)-(Inputs!B18+Inputs!B19+Inputs!B20+Inputs!B21+Inputs!B22+Inputs!B23))/Inputs!B5</f>
        <v/>
      </c>
      <c r="D6" s="29">
        <f>($A6*D$4*365*(1-Inputs!B13-Inputs!B17-Inputs!B16)-(Inputs!B18+Inputs!B19+Inputs!B20+Inputs!B21+Inputs!B22+Inputs!B23))/Inputs!B5</f>
        <v/>
      </c>
      <c r="E6" s="29">
        <f>($A6*E$4*365*(1-Inputs!B13-Inputs!B17-Inputs!B16)-(Inputs!B18+Inputs!B19+Inputs!B20+Inputs!B21+Inputs!B22+Inputs!B23))/Inputs!B5</f>
        <v/>
      </c>
      <c r="F6" s="29">
        <f>($A6*F$4*365*(1-Inputs!B13-Inputs!B17-Inputs!B16)-(Inputs!B18+Inputs!B19+Inputs!B20+Inputs!B21+Inputs!B22+Inputs!B23))/Inputs!B5</f>
        <v/>
      </c>
      <c r="G6" s="29">
        <f>($A6*G$4*365*(1-Inputs!B13-Inputs!B17-Inputs!B16)-(Inputs!B18+Inputs!B19+Inputs!B20+Inputs!B21+Inputs!B22+Inputs!B23))/Inputs!B5</f>
        <v/>
      </c>
    </row>
    <row r="7">
      <c r="A7" s="23" t="n">
        <v>350</v>
      </c>
      <c r="B7" s="29">
        <f>($A7*B$4*365*(1-Inputs!B13-Inputs!B17-Inputs!B16)-(Inputs!B18+Inputs!B19+Inputs!B20+Inputs!B21+Inputs!B22+Inputs!B23))/Inputs!B5</f>
        <v/>
      </c>
      <c r="C7" s="29">
        <f>($A7*C$4*365*(1-Inputs!B13-Inputs!B17-Inputs!B16)-(Inputs!B18+Inputs!B19+Inputs!B20+Inputs!B21+Inputs!B22+Inputs!B23))/Inputs!B5</f>
        <v/>
      </c>
      <c r="D7" s="29">
        <f>($A7*D$4*365*(1-Inputs!B13-Inputs!B17-Inputs!B16)-(Inputs!B18+Inputs!B19+Inputs!B20+Inputs!B21+Inputs!B22+Inputs!B23))/Inputs!B5</f>
        <v/>
      </c>
      <c r="E7" s="29">
        <f>($A7*E$4*365*(1-Inputs!B13-Inputs!B17-Inputs!B16)-(Inputs!B18+Inputs!B19+Inputs!B20+Inputs!B21+Inputs!B22+Inputs!B23))/Inputs!B5</f>
        <v/>
      </c>
      <c r="F7" s="29">
        <f>($A7*F$4*365*(1-Inputs!B13-Inputs!B17-Inputs!B16)-(Inputs!B18+Inputs!B19+Inputs!B20+Inputs!B21+Inputs!B22+Inputs!B23))/Inputs!B5</f>
        <v/>
      </c>
      <c r="G7" s="29">
        <f>($A7*G$4*365*(1-Inputs!B13-Inputs!B17-Inputs!B16)-(Inputs!B18+Inputs!B19+Inputs!B20+Inputs!B21+Inputs!B22+Inputs!B23))/Inputs!B5</f>
        <v/>
      </c>
    </row>
    <row r="8">
      <c r="A8" s="23" t="n">
        <v>400</v>
      </c>
      <c r="B8" s="29">
        <f>($A8*B$4*365*(1-Inputs!B13-Inputs!B17-Inputs!B16)-(Inputs!B18+Inputs!B19+Inputs!B20+Inputs!B21+Inputs!B22+Inputs!B23))/Inputs!B5</f>
        <v/>
      </c>
      <c r="C8" s="29">
        <f>($A8*C$4*365*(1-Inputs!B13-Inputs!B17-Inputs!B16)-(Inputs!B18+Inputs!B19+Inputs!B20+Inputs!B21+Inputs!B22+Inputs!B23))/Inputs!B5</f>
        <v/>
      </c>
      <c r="D8" s="29">
        <f>($A8*D$4*365*(1-Inputs!B13-Inputs!B17-Inputs!B16)-(Inputs!B18+Inputs!B19+Inputs!B20+Inputs!B21+Inputs!B22+Inputs!B23))/Inputs!B5</f>
        <v/>
      </c>
      <c r="E8" s="29">
        <f>($A8*E$4*365*(1-Inputs!B13-Inputs!B17-Inputs!B16)-(Inputs!B18+Inputs!B19+Inputs!B20+Inputs!B21+Inputs!B22+Inputs!B23))/Inputs!B5</f>
        <v/>
      </c>
      <c r="F8" s="29">
        <f>($A8*F$4*365*(1-Inputs!B13-Inputs!B17-Inputs!B16)-(Inputs!B18+Inputs!B19+Inputs!B20+Inputs!B21+Inputs!B22+Inputs!B23))/Inputs!B5</f>
        <v/>
      </c>
      <c r="G8" s="29">
        <f>($A8*G$4*365*(1-Inputs!B13-Inputs!B17-Inputs!B16)-(Inputs!B18+Inputs!B19+Inputs!B20+Inputs!B21+Inputs!B22+Inputs!B23))/Inputs!B5</f>
        <v/>
      </c>
    </row>
    <row r="9">
      <c r="A9" s="23" t="n">
        <v>450</v>
      </c>
      <c r="B9" s="29">
        <f>($A9*B$4*365*(1-Inputs!B13-Inputs!B17-Inputs!B16)-(Inputs!B18+Inputs!B19+Inputs!B20+Inputs!B21+Inputs!B22+Inputs!B23))/Inputs!B5</f>
        <v/>
      </c>
      <c r="C9" s="29">
        <f>($A9*C$4*365*(1-Inputs!B13-Inputs!B17-Inputs!B16)-(Inputs!B18+Inputs!B19+Inputs!B20+Inputs!B21+Inputs!B22+Inputs!B23))/Inputs!B5</f>
        <v/>
      </c>
      <c r="D9" s="29">
        <f>($A9*D$4*365*(1-Inputs!B13-Inputs!B17-Inputs!B16)-(Inputs!B18+Inputs!B19+Inputs!B20+Inputs!B21+Inputs!B22+Inputs!B23))/Inputs!B5</f>
        <v/>
      </c>
      <c r="E9" s="29">
        <f>($A9*E$4*365*(1-Inputs!B13-Inputs!B17-Inputs!B16)-(Inputs!B18+Inputs!B19+Inputs!B20+Inputs!B21+Inputs!B22+Inputs!B23))/Inputs!B5</f>
        <v/>
      </c>
      <c r="F9" s="29">
        <f>($A9*F$4*365*(1-Inputs!B13-Inputs!B17-Inputs!B16)-(Inputs!B18+Inputs!B19+Inputs!B20+Inputs!B21+Inputs!B22+Inputs!B23))/Inputs!B5</f>
        <v/>
      </c>
      <c r="G9" s="29">
        <f>($A9*G$4*365*(1-Inputs!B13-Inputs!B17-Inputs!B16)-(Inputs!B18+Inputs!B19+Inputs!B20+Inputs!B21+Inputs!B22+Inputs!B23))/Inputs!B5</f>
        <v/>
      </c>
    </row>
    <row r="10">
      <c r="A10" s="23" t="n">
        <v>500</v>
      </c>
      <c r="B10" s="29">
        <f>($A10*B$4*365*(1-Inputs!B13-Inputs!B17-Inputs!B16)-(Inputs!B18+Inputs!B19+Inputs!B20+Inputs!B21+Inputs!B22+Inputs!B23))/Inputs!B5</f>
        <v/>
      </c>
      <c r="C10" s="29">
        <f>($A10*C$4*365*(1-Inputs!B13-Inputs!B17-Inputs!B16)-(Inputs!B18+Inputs!B19+Inputs!B20+Inputs!B21+Inputs!B22+Inputs!B23))/Inputs!B5</f>
        <v/>
      </c>
      <c r="D10" s="29">
        <f>($A10*D$4*365*(1-Inputs!B13-Inputs!B17-Inputs!B16)-(Inputs!B18+Inputs!B19+Inputs!B20+Inputs!B21+Inputs!B22+Inputs!B23))/Inputs!B5</f>
        <v/>
      </c>
      <c r="E10" s="29">
        <f>($A10*E$4*365*(1-Inputs!B13-Inputs!B17-Inputs!B16)-(Inputs!B18+Inputs!B19+Inputs!B20+Inputs!B21+Inputs!B22+Inputs!B23))/Inputs!B5</f>
        <v/>
      </c>
      <c r="F10" s="29">
        <f>($A10*F$4*365*(1-Inputs!B13-Inputs!B17-Inputs!B16)-(Inputs!B18+Inputs!B19+Inputs!B20+Inputs!B21+Inputs!B22+Inputs!B23))/Inputs!B5</f>
        <v/>
      </c>
      <c r="G10" s="29">
        <f>($A10*G$4*365*(1-Inputs!B13-Inputs!B17-Inputs!B16)-(Inputs!B18+Inputs!B19+Inputs!B20+Inputs!B21+Inputs!B22+Inputs!B23))/Inputs!B5</f>
        <v/>
      </c>
    </row>
    <row r="12">
      <c r="A12" s="26" t="inlineStr">
        <is>
          <t>LTR net yield:</t>
        </is>
      </c>
      <c r="B12" s="29">
        <f>Scenarios!B22/Inputs!B5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2026-08-08T00:10:23Z</dcterms:created>
  <dcterms:modified xsi:type="dcterms:W3CDTF">2026-08-08T00:21:41Z</dcterms:modified>
</cp:coreProperties>
</file>